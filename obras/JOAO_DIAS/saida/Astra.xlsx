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13"/>
    </font>
    <font>
      <b val="1"/>
    </font>
    <font>
      <b val="1"/>
      <color rgb="001F3A5F"/>
      <sz val="12"/>
    </font>
    <font>
      <name val="Calibri"/>
      <b val="1"/>
      <color rgb="00FFFFFF"/>
      <sz val="1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horizontal="right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0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OBRA</t>
        </is>
      </c>
      <c r="B1" s="2" t="inlineStr">
        <is>
          <t>JOAO_DIAS</t>
        </is>
      </c>
    </row>
    <row r="2">
      <c r="A2" s="3" t="inlineStr">
        <is>
          <t>Construtora:</t>
        </is>
      </c>
      <c r="B2" t="inlineStr">
        <is>
          <t>Cyrela</t>
        </is>
      </c>
    </row>
    <row r="3">
      <c r="A3" s="3" t="inlineStr">
        <is>
          <t>Data:</t>
        </is>
      </c>
      <c r="B3" t="inlineStr">
        <is>
          <t>2026-06-10</t>
        </is>
      </c>
    </row>
    <row r="4">
      <c r="A4" s="3" t="inlineStr">
        <is>
          <t>Fornecedor:</t>
        </is>
      </c>
      <c r="B4" s="4" t="inlineStr">
        <is>
          <t>Astra</t>
        </is>
      </c>
    </row>
    <row r="5">
      <c r="A5" s="3" t="inlineStr">
        <is>
          <t>Contato:</t>
        </is>
      </c>
      <c r="B5" t="inlineStr">
        <is>
          <t>Otavio</t>
        </is>
      </c>
    </row>
    <row r="7">
      <c r="A7" s="5" t="inlineStr">
        <is>
          <t>CODIGO</t>
        </is>
      </c>
      <c r="B7" s="5" t="inlineStr">
        <is>
          <t>DESCRICAO</t>
        </is>
      </c>
      <c r="C7" s="5" t="inlineStr">
        <is>
          <t>UNIDADE</t>
        </is>
      </c>
      <c r="D7" s="5" t="inlineStr">
        <is>
          <t>QUANTIDADE</t>
        </is>
      </c>
      <c r="E7" s="5" t="inlineStr">
        <is>
          <t>PRECO UNIT.</t>
        </is>
      </c>
      <c r="F7" s="5" t="inlineStr">
        <is>
          <t>IPI %</t>
        </is>
      </c>
      <c r="G7" s="5" t="inlineStr">
        <is>
          <t>SUBTOTAL</t>
        </is>
      </c>
    </row>
    <row r="8">
      <c r="A8" s="6" t="inlineStr">
        <is>
          <t>&gt;&gt;&gt; PEX &lt;&lt;&lt;</t>
        </is>
      </c>
      <c r="B8" s="7" t="n"/>
      <c r="C8" s="7" t="n"/>
      <c r="D8" s="7" t="n"/>
      <c r="E8" s="7" t="n"/>
      <c r="F8" s="7" t="n"/>
      <c r="G8" s="7" t="n"/>
    </row>
    <row r="9">
      <c r="A9" s="8" t="inlineStr">
        <is>
          <t>KRC/2034</t>
        </is>
      </c>
      <c r="B9" s="8" t="inlineStr">
        <is>
          <t>ADAPTADOR / CONEXAO FIXO MACHO PEX 20MM X 3/4"</t>
        </is>
      </c>
      <c r="C9" s="8" t="inlineStr">
        <is>
          <t>UN</t>
        </is>
      </c>
      <c r="D9" s="8" t="n">
        <v>2504</v>
      </c>
      <c r="E9" s="9" t="n"/>
      <c r="F9" s="9" t="n"/>
      <c r="G9" s="8">
        <f>IF(E9="","",D9*E9*(1+IF(F9="",0,F9)/100))</f>
        <v/>
      </c>
    </row>
    <row r="10">
      <c r="A10" s="10" t="inlineStr">
        <is>
          <t>KRM/1612</t>
        </is>
      </c>
      <c r="B10" s="10" t="inlineStr">
        <is>
          <t>ADAPTADOR / CONEXAO MÓVEL PEX 16MM X 1/2"</t>
        </is>
      </c>
      <c r="C10" s="10" t="inlineStr">
        <is>
          <t>UN</t>
        </is>
      </c>
      <c r="D10" s="10" t="n">
        <v>3756</v>
      </c>
      <c r="E10" s="9" t="n"/>
      <c r="F10" s="9" t="n"/>
      <c r="G10" s="10">
        <f>IF(E10="","",D10*E10*(1+IF(F10="",0,F10)/100))</f>
        <v/>
      </c>
    </row>
    <row r="11">
      <c r="A11" s="8" t="inlineStr">
        <is>
          <t>4509202</t>
        </is>
      </c>
      <c r="B11" s="8" t="inlineStr">
        <is>
          <t>BASE REG GAVETA 3/4 DN20-B</t>
        </is>
      </c>
      <c r="C11" s="8" t="inlineStr">
        <is>
          <t>UN</t>
        </is>
      </c>
      <c r="D11" s="8" t="n">
        <v>1252</v>
      </c>
      <c r="E11" s="9" t="n"/>
      <c r="F11" s="9" t="n"/>
      <c r="G11" s="8">
        <f>IF(E11="","",D11*E11*(1+IF(F11="",0,F11)/100))</f>
        <v/>
      </c>
    </row>
    <row r="12">
      <c r="A12" s="10" t="inlineStr">
        <is>
          <t>4416102</t>
        </is>
      </c>
      <c r="B12" s="10" t="inlineStr">
        <is>
          <t>BASE REG PRESSAO MVS 1/2 DN15-B</t>
        </is>
      </c>
      <c r="C12" s="10" t="inlineStr">
        <is>
          <t>UN</t>
        </is>
      </c>
      <c r="D12" s="10" t="n">
        <v>2504</v>
      </c>
      <c r="E12" s="9" t="n"/>
      <c r="F12" s="9" t="n"/>
      <c r="G12" s="10">
        <f>IF(E12="","",D12*E12*(1+IF(F12="",0,F12)/100))</f>
        <v/>
      </c>
    </row>
    <row r="13">
      <c r="A13" s="8" t="inlineStr">
        <is>
          <t>CF/1632</t>
        </is>
      </c>
      <c r="B13" s="8" t="inlineStr">
        <is>
          <t>COIFA / VEDANTE FLEXÍVEL 16/32MM</t>
        </is>
      </c>
      <c r="C13" s="8" t="inlineStr">
        <is>
          <t>UN</t>
        </is>
      </c>
      <c r="D13" s="8" t="n">
        <v>5308</v>
      </c>
      <c r="E13" s="9" t="n"/>
      <c r="F13" s="9" t="n"/>
      <c r="G13" s="8">
        <f>IF(E13="","",D13*E13*(1+IF(F13="",0,F13)/100))</f>
        <v/>
      </c>
    </row>
    <row r="14">
      <c r="A14" s="10" t="inlineStr">
        <is>
          <t>CF/2032</t>
        </is>
      </c>
      <c r="B14" s="10" t="inlineStr">
        <is>
          <t>COIFA / VEDANTE FLEXÍVEL 20/32MM</t>
        </is>
      </c>
      <c r="C14" s="10" t="inlineStr">
        <is>
          <t>UN</t>
        </is>
      </c>
      <c r="D14" s="10" t="n">
        <v>1905</v>
      </c>
      <c r="E14" s="9" t="n"/>
      <c r="F14" s="9" t="n"/>
      <c r="G14" s="10">
        <f>IF(E14="","",D14*E14*(1+IF(F14="",0,F14)/100))</f>
        <v/>
      </c>
    </row>
    <row r="15">
      <c r="A15" s="8" t="inlineStr">
        <is>
          <t>KCXL/162</t>
        </is>
      </c>
      <c r="B15" s="8" t="inlineStr">
        <is>
          <t>COTOVELO C/ BASE FIXA CORPO EXTRA LONGO PEX 16MM X 1/2"</t>
        </is>
      </c>
      <c r="C15" s="8" t="inlineStr">
        <is>
          <t>UN</t>
        </is>
      </c>
      <c r="D15" s="8" t="n">
        <v>1252</v>
      </c>
      <c r="E15" s="9" t="n"/>
      <c r="F15" s="9" t="n"/>
      <c r="G15" s="8">
        <f>IF(E15="","",D15*E15*(1+IF(F15="",0,F15)/100))</f>
        <v/>
      </c>
    </row>
    <row r="16">
      <c r="A16" s="10" t="inlineStr">
        <is>
          <t>KCFC/162</t>
        </is>
      </c>
      <c r="B16" s="10" t="inlineStr">
        <is>
          <t>COTOVELO C/ BASE FIXA CORPO LONGO PEX 16MM X 1/2"</t>
        </is>
      </c>
      <c r="C16" s="10" t="inlineStr">
        <is>
          <t>UN</t>
        </is>
      </c>
      <c r="D16" s="10" t="n">
        <v>1905</v>
      </c>
      <c r="E16" s="9" t="n"/>
      <c r="F16" s="9" t="n"/>
      <c r="G16" s="10">
        <f>IF(E16="","",D16*E16*(1+IF(F16="",0,F16)/100))</f>
        <v/>
      </c>
    </row>
    <row r="17">
      <c r="A17" s="8" t="inlineStr">
        <is>
          <t>KCFC/202</t>
        </is>
      </c>
      <c r="B17" s="8" t="inlineStr">
        <is>
          <t>COTOVELO C/ BASE FIXA CORPO LONGO PEX 20MM X 1/2"</t>
        </is>
      </c>
      <c r="C17" s="8" t="inlineStr">
        <is>
          <t>UN</t>
        </is>
      </c>
      <c r="D17" s="8" t="n">
        <v>2504</v>
      </c>
      <c r="E17" s="9" t="n"/>
      <c r="F17" s="9" t="n"/>
      <c r="G17" s="8">
        <f>IF(E17="","",D17*E17*(1+IF(F17="",0,F17)/100))</f>
        <v/>
      </c>
    </row>
    <row r="18">
      <c r="A18" s="10" t="inlineStr">
        <is>
          <t>KCR/2012</t>
        </is>
      </c>
      <c r="B18" s="10" t="inlineStr">
        <is>
          <t>COTOVELO ROSCA MACHO PEX 20MM X 1/2"</t>
        </is>
      </c>
      <c r="C18" s="10" t="inlineStr">
        <is>
          <t>UN</t>
        </is>
      </c>
      <c r="D18" s="10" t="n">
        <v>1252</v>
      </c>
      <c r="E18" s="9" t="n"/>
      <c r="F18" s="9" t="n"/>
      <c r="G18" s="10">
        <f>IF(E18="","",D18*E18*(1+IF(F18="",0,F18)/100))</f>
        <v/>
      </c>
    </row>
    <row r="19">
      <c r="A19" s="8" t="inlineStr">
        <is>
          <t>MDL162</t>
        </is>
      </c>
      <c r="B19" s="8" t="inlineStr">
        <is>
          <t>TE MISTURADOR PEX 16MM X 1/2"</t>
        </is>
      </c>
      <c r="C19" s="8" t="inlineStr">
        <is>
          <t>UN</t>
        </is>
      </c>
      <c r="D19" s="8" t="n">
        <v>1252</v>
      </c>
      <c r="E19" s="9" t="n"/>
      <c r="F19" s="9" t="n"/>
      <c r="G19" s="8">
        <f>IF(E19="","",D19*E19*(1+IF(F19="",0,F19)/100))</f>
        <v/>
      </c>
    </row>
    <row r="20">
      <c r="A20" s="10" t="inlineStr">
        <is>
          <t>KT/16206</t>
        </is>
      </c>
      <c r="B20" s="10" t="inlineStr">
        <is>
          <t>TE PEX 16-20-16</t>
        </is>
      </c>
      <c r="C20" s="10" t="inlineStr">
        <is>
          <t>UN</t>
        </is>
      </c>
      <c r="D20" s="10" t="n">
        <v>1306</v>
      </c>
      <c r="E20" s="9" t="n"/>
      <c r="F20" s="9" t="n"/>
      <c r="G20" s="10">
        <f>IF(E20="","",D20*E20*(1+IF(F20="",0,F20)/100))</f>
        <v/>
      </c>
    </row>
    <row r="21">
      <c r="A21" s="8" t="inlineStr">
        <is>
          <t>KT/20166</t>
        </is>
      </c>
      <c r="B21" s="8" t="inlineStr">
        <is>
          <t>TE PEX 20-16-16</t>
        </is>
      </c>
      <c r="C21" s="8" t="inlineStr">
        <is>
          <t>UN</t>
        </is>
      </c>
      <c r="D21" s="8" t="n">
        <v>1551</v>
      </c>
      <c r="E21" s="9" t="n"/>
      <c r="F21" s="9" t="n"/>
      <c r="G21" s="8">
        <f>IF(E21="","",D21*E21*(1+IF(F21="",0,F21)/100))</f>
        <v/>
      </c>
    </row>
    <row r="22">
      <c r="A22" s="10" t="inlineStr">
        <is>
          <t>KT/20160</t>
        </is>
      </c>
      <c r="B22" s="10" t="inlineStr">
        <is>
          <t>TE PEX 20-16-20</t>
        </is>
      </c>
      <c r="C22" s="10" t="inlineStr">
        <is>
          <t>UN</t>
        </is>
      </c>
      <c r="D22" s="10" t="n">
        <v>300</v>
      </c>
      <c r="E22" s="9" t="n"/>
      <c r="F22" s="9" t="n"/>
      <c r="G22" s="10">
        <f>IF(E22="","",D22*E22*(1+IF(F22="",0,F22)/100))</f>
        <v/>
      </c>
    </row>
    <row r="23">
      <c r="A23" s="8" t="inlineStr">
        <is>
          <t>KT/20206</t>
        </is>
      </c>
      <c r="B23" s="8" t="inlineStr">
        <is>
          <t>TE PEX 20-20-16</t>
        </is>
      </c>
      <c r="C23" s="8" t="inlineStr">
        <is>
          <t>UN</t>
        </is>
      </c>
      <c r="D23" s="8" t="n">
        <v>300</v>
      </c>
      <c r="E23" s="9" t="n"/>
      <c r="F23" s="9" t="n"/>
      <c r="G23" s="8">
        <f>IF(E23="","",D23*E23*(1+IF(F23="",0,F23)/100))</f>
        <v/>
      </c>
    </row>
    <row r="24">
      <c r="A24" s="10" t="inlineStr">
        <is>
          <t>KT/20200</t>
        </is>
      </c>
      <c r="B24" s="10" t="inlineStr">
        <is>
          <t>TE PEX 20-20-20</t>
        </is>
      </c>
      <c r="C24" s="10" t="inlineStr">
        <is>
          <t>UN</t>
        </is>
      </c>
      <c r="D24" s="10" t="n">
        <v>2204</v>
      </c>
      <c r="E24" s="9" t="n"/>
      <c r="F24" s="9" t="n"/>
      <c r="G24" s="10">
        <f>IF(E24="","",D24*E24*(1+IF(F24="",0,F24)/100))</f>
        <v/>
      </c>
    </row>
    <row r="25">
      <c r="A25" s="8" t="inlineStr">
        <is>
          <t>KSM/2012</t>
        </is>
      </c>
      <c r="B25" s="8" t="inlineStr">
        <is>
          <t>TE SAÍDA MACHO PEX 20MM X 1/2"</t>
        </is>
      </c>
      <c r="C25" s="8" t="inlineStr">
        <is>
          <t>UN</t>
        </is>
      </c>
      <c r="D25" s="8" t="n">
        <v>1252</v>
      </c>
      <c r="E25" s="9" t="n"/>
      <c r="F25" s="9" t="n"/>
      <c r="G25" s="8">
        <f>IF(E25="","",D25*E25*(1+IF(F25="",0,F25)/100))</f>
        <v/>
      </c>
    </row>
    <row r="26">
      <c r="A26" s="10" t="inlineStr">
        <is>
          <t>C/1618M</t>
        </is>
      </c>
      <c r="B26" s="10" t="inlineStr">
        <is>
          <t>TUBO PEX 16 - SÉRIE 5  DN16MM X DI 12,4MM</t>
        </is>
      </c>
      <c r="C26" s="10" t="inlineStr">
        <is>
          <t>M</t>
        </is>
      </c>
      <c r="D26" s="10" t="n">
        <v>16600</v>
      </c>
      <c r="E26" s="9" t="n"/>
      <c r="F26" s="9" t="n"/>
      <c r="G26" s="10">
        <f>IF(E26="","",D26*E26*(1+IF(F26="",0,F26)/100))</f>
        <v/>
      </c>
    </row>
    <row r="27">
      <c r="A27" s="8" t="inlineStr">
        <is>
          <t>C/2019M</t>
        </is>
      </c>
      <c r="B27" s="8" t="inlineStr">
        <is>
          <t>TUBO PEX 20 - SÉRIE 5 DN 20MM X DI 16,2MM</t>
        </is>
      </c>
      <c r="C27" s="8" t="inlineStr">
        <is>
          <t>M</t>
        </is>
      </c>
      <c r="D27" s="8" t="n">
        <v>6900</v>
      </c>
      <c r="E27" s="9" t="n"/>
      <c r="F27" s="9" t="n"/>
      <c r="G27" s="8">
        <f>IF(E27="","",D27*E27*(1+IF(F27="",0,F27)/100))</f>
        <v/>
      </c>
    </row>
    <row r="29">
      <c r="F29" s="11" t="inlineStr">
        <is>
          <t>TOTAL GERAL</t>
        </is>
      </c>
      <c r="G29" s="12">
        <f>SUM(G8:G27)</f>
        <v/>
      </c>
    </row>
    <row r="32">
      <c r="A32" s="3" t="inlineStr">
        <is>
          <t>INSTRUCOES PARA O FORNECEDOR:</t>
        </is>
      </c>
    </row>
    <row r="33">
      <c r="A33" t="inlineStr">
        <is>
          <t>1. Preencher as colunas amarelas (Preco Unit. + IPI %)</t>
        </is>
      </c>
    </row>
    <row r="34">
      <c r="A34" t="inlineStr">
        <is>
          <t>2. Subtotal e Total Geral sao calculados automaticamente (IPI em branco = 0%)</t>
        </is>
      </c>
    </row>
    <row r="35">
      <c r="A35" t="inlineStr">
        <is>
          <t>3. Devolver via email respondendo a mensagem original</t>
        </is>
      </c>
    </row>
    <row r="36">
      <c r="A36" t="inlineStr">
        <is>
          <t>4. Prazo de cotacao: 48h (especificar se diferente)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2026-06-10T16:27:03Z</dcterms:created>
  <dcterms:modified xmlns:dcterms="http://purl.org/dc/terms/" xmlns:xsi="http://www.w3.org/2001/XMLSchema-instance" xsi:type="dcterms:W3CDTF">2026-06-10T16:27:03Z</dcterms:modified>
</cp:coreProperties>
</file>